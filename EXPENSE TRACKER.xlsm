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WETA SUMAN\Desktop\"/>
    </mc:Choice>
  </mc:AlternateContent>
  <xr:revisionPtr revIDLastSave="0" documentId="13_ncr:1_{19223669-80AE-4CA2-A85B-FB59C169DF8C}" xr6:coauthVersionLast="47" xr6:coauthVersionMax="47" xr10:uidLastSave="{00000000-0000-0000-0000-000000000000}"/>
  <bookViews>
    <workbookView xWindow="-110" yWindow="-110" windowWidth="19420" windowHeight="10420" xr2:uid="{96584A11-F57D-4B84-8DCC-F20304771663}"/>
  </bookViews>
  <sheets>
    <sheet name="Expenses" sheetId="1" r:id="rId1"/>
    <sheet name="Sheet1" sheetId="2" r:id="rId2"/>
    <sheet name="Sheet2" sheetId="3" r:id="rId3"/>
  </sheets>
  <definedNames>
    <definedName name="Categories">Expenses!$L$12:$L$14</definedName>
    <definedName name="ExpAmount">OFFSET(Expenses!$E$22,1,,COUNTA(Expenses!$E$22:$E$999)-1,1)</definedName>
    <definedName name="ExpDate">OFFSET(Expenses!$D$22,1,,COUNTA(Expenses!$D$22:$D$999)-1,1)</definedName>
    <definedName name="ListFiles">FILES(Expenses!$L$3)</definedName>
    <definedName name="TYPES">Expenses!$L$6:$L$8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12" i="1" a="1"/>
  <c r="B12" i="1" s="1"/>
  <c r="M14" i="1" a="1"/>
  <c r="M7" i="1" a="1"/>
  <c r="M12" i="1" a="1"/>
  <c r="M5" i="1" a="1"/>
  <c r="M6" i="1" a="1"/>
  <c r="M11" i="1" a="1"/>
  <c r="M15" i="1" a="1"/>
  <c r="M3" i="1" a="1"/>
  <c r="M8" i="1" a="1"/>
  <c r="M4" i="1" a="1"/>
  <c r="M10" i="1" a="1"/>
  <c r="M9" i="1" a="1"/>
  <c r="M13" i="1" a="1"/>
  <c r="B24" i="1" l="1"/>
  <c r="M3" i="1"/>
  <c r="M4" i="1"/>
  <c r="M8" i="1"/>
  <c r="M15" i="1"/>
  <c r="M11" i="1"/>
  <c r="M12" i="1"/>
  <c r="M14" i="1"/>
  <c r="M10" i="1"/>
  <c r="M13" i="1"/>
  <c r="M9" i="1"/>
  <c r="M7" i="1"/>
  <c r="M6" i="1"/>
  <c r="M5" i="1"/>
  <c r="B7" i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<sst xmlns="http://schemas.openxmlformats.org/spreadsheetml/2006/main" count="67" uniqueCount="47">
  <si>
    <t>EXPENSE TRACKER</t>
  </si>
  <si>
    <t>By Year</t>
  </si>
  <si>
    <t>Date</t>
  </si>
  <si>
    <t>Type</t>
  </si>
  <si>
    <t>Receipt</t>
  </si>
  <si>
    <t>Amount</t>
  </si>
  <si>
    <t>Category</t>
  </si>
  <si>
    <t>_</t>
  </si>
  <si>
    <t>Folder Receipt</t>
  </si>
  <si>
    <t>New Receipt</t>
  </si>
  <si>
    <t>Rec. Review</t>
  </si>
  <si>
    <t>Btn Text</t>
  </si>
  <si>
    <t>Sel Row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</si>
  <si>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</si>
  <si>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</si>
  <si>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</si>
  <si>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</si>
  <si>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</si>
  <si>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</si>
  <si>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</si>
  <si>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</si>
  <si>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</si>
  <si>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</si>
  <si>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</si>
  <si>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</si>
  <si>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</si>
  <si>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AMOUNT</t>
  </si>
  <si>
    <t>MONTH</t>
  </si>
  <si>
    <t>Paytm</t>
  </si>
  <si>
    <t>google pay</t>
  </si>
  <si>
    <t>Cash</t>
  </si>
  <si>
    <t>paytm</t>
  </si>
  <si>
    <t>Professional Fees</t>
  </si>
  <si>
    <t>Entertainment</t>
  </si>
  <si>
    <t>Professional fees</t>
  </si>
  <si>
    <t>Business Expenses</t>
  </si>
  <si>
    <t>Expenses</t>
  </si>
  <si>
    <t>C:\Users\SWETA SUMAN\Desktop\Receipt Collection\*</t>
  </si>
  <si>
    <t>C:\Users\SWETA SUMAN\Desktop\Receipt Collection</t>
  </si>
  <si>
    <t>Receipt Name</t>
  </si>
  <si>
    <t xml:space="preserve">File Location </t>
  </si>
  <si>
    <t xml:space="preserve">Receipt Location                                         </t>
  </si>
  <si>
    <t xml:space="preserve"> Picture</t>
  </si>
  <si>
    <t>C:\Users\SWETA SUMAN\Desktop\Receipt Collection\Receiptno.12.png</t>
  </si>
  <si>
    <t>TYPES</t>
  </si>
  <si>
    <t>Googlepay</t>
  </si>
  <si>
    <t>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</si>
</sst>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4009]\ * #,##0.00_ ;_ [$₹-4009]\ * \-#,##0.00_ ;_ [$₹-4009]\ * &quot;-&quot;??_ ;_ @_ 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Arial Black"/>
      <family val="2"/>
    </font>
    <font>
      <sz val="11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5" borderId="1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3" xfId="0" applyFill="1" applyBorder="1"/>
    <xf numFmtId="0" fontId="0" fillId="6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11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2" borderId="0" xfId="0" applyFill="1" applyAlignment="1">
      <alignment horizontal="left"/>
    </xf>
    <xf numFmtId="164" fontId="0" fillId="5" borderId="17" xfId="0" applyNumberForma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4" fontId="0" fillId="5" borderId="16" xfId="0" applyNumberFormat="1" applyFill="1" applyBorder="1" applyAlignment="1">
      <alignment horizontal="center"/>
    </xf>
    <xf numFmtId="14" fontId="0" fillId="6" borderId="15" xfId="0" applyNumberFormat="1" applyFill="1" applyBorder="1" applyAlignment="1">
      <alignment horizontal="center"/>
    </xf>
    <xf numFmtId="164" fontId="0" fillId="9" borderId="1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0" fontId="0" fillId="4" borderId="0" xfId="0" applyFill="1"/>
    <xf numFmtId="0" fontId="0" fillId="5" borderId="17" xfId="0" applyFill="1" applyBorder="1" applyAlignment="1"/>
    <xf numFmtId="0" fontId="0" fillId="6" borderId="19" xfId="0" applyFill="1" applyBorder="1" applyAlignment="1"/>
    <xf numFmtId="0" fontId="5" fillId="14" borderId="0" xfId="0" applyFont="1" applyFill="1" applyAlignment="1">
      <alignment horizontal="center"/>
    </xf>
    <xf numFmtId="0" fontId="0" fillId="2" borderId="23" xfId="0" applyFill="1" applyBorder="1"/>
    <xf numFmtId="0" fontId="0" fillId="2" borderId="1" xfId="0" applyFill="1" applyBorder="1"/>
    <xf numFmtId="0" fontId="6" fillId="8" borderId="0" xfId="0" applyFont="1" applyFill="1" applyAlignment="1">
      <alignment horizontal="center"/>
    </xf>
    <xf numFmtId="0" fontId="0" fillId="5" borderId="17" xfId="0" applyFill="1" applyBorder="1"/>
    <xf numFmtId="0" fontId="0" fillId="6" borderId="1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7" fillId="11" borderId="1" xfId="0" applyFont="1" applyFill="1" applyBorder="1" applyAlignment="1">
      <alignment horizontal="center"/>
    </xf>
    <xf numFmtId="0" fontId="0" fillId="13" borderId="0" xfId="0" applyFill="1" applyBorder="1" applyAlignment="1"/>
    <xf numFmtId="0" fontId="2" fillId="4" borderId="0" xfId="0" applyFont="1" applyFill="1" applyAlignment="1">
      <alignment horizontal="center"/>
    </xf>
    <xf numFmtId="0" fontId="0" fillId="2" borderId="25" xfId="0" applyFill="1" applyBorder="1"/>
    <xf numFmtId="0" fontId="0" fillId="13" borderId="14" xfId="0" applyFill="1" applyBorder="1" applyAlignment="1"/>
    <xf numFmtId="0" fontId="0" fillId="13" borderId="22" xfId="0" applyFill="1" applyBorder="1" applyAlignment="1"/>
    <xf numFmtId="0" fontId="0" fillId="13" borderId="0" xfId="0" applyFill="1" applyBorder="1" applyAlignment="1"/>
    <xf numFmtId="0" fontId="0" fillId="13" borderId="21" xfId="0" applyFill="1" applyBorder="1" applyAlignment="1"/>
    <xf numFmtId="0" fontId="2" fillId="4" borderId="0" xfId="0" applyFont="1" applyFill="1" applyAlignment="1">
      <alignment horizontal="center"/>
    </xf>
    <xf numFmtId="0" fontId="0" fillId="13" borderId="24" xfId="0" applyFill="1" applyBorder="1" applyAlignment="1"/>
    <xf numFmtId="0" fontId="0" fillId="13" borderId="20" xfId="0" applyFill="1" applyBorder="1" applyAlignment="1"/>
    <xf numFmtId="0" fontId="1" fillId="7" borderId="11" xfId="0" applyFont="1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16" fontId="0" fillId="5" borderId="1" xfId="0" applyNumberFormat="1" applyFill="1" applyBorder="1"/>
    <xf numFmtId="0" fontId="1" fillId="7" borderId="0" xfId="0" applyFont="1" applyFill="1" applyBorder="1" applyAlignment="1">
      <alignment horizontal="center"/>
    </xf>
    <xf numFmtId="0" fontId="0" fillId="6" borderId="0" xfId="0" applyFill="1" applyBorder="1" applyAlignment="1"/>
    <xf numFmtId="0" fontId="8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5" borderId="1" xfId="0" applyNumberFormat="1" applyFill="1" applyBorder="1"/>
  </cellXfs>
  <cellStyles count="1">
    <cellStyle name="Normal" xfId="0" builtinId="0"/>
  </cellStyles>
  <dxfs count="1">
    <dxf>
      <font>
        <b/>
        <i val="0"/>
        <color theme="0"/>
      </font>
      <fill>
        <gradientFill degree="90">
          <stop position="0">
            <color theme="4" tint="0.40000610370189521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692038495188101E-2"/>
          <c:y val="6.4411249507139209E-2"/>
          <c:w val="0.86486351706036746"/>
          <c:h val="0.598953980883926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f>Expenses!$A$12:$A$23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Expenses!$B$12:$B$23</c:f>
              <c:numCache>
                <c:formatCode>_ [$₹-4009]\ * #,##0.00_ ;_ [$₹-4009]\ * \-#,##0.00_ ;_ [$₹-4009]\ * "-"??_ ;_ @_ </c:formatCode>
                <c:ptCount val="12"/>
                <c:pt idx="0">
                  <c:v>599</c:v>
                </c:pt>
                <c:pt idx="1">
                  <c:v>2000</c:v>
                </c:pt>
                <c:pt idx="2">
                  <c:v>1560</c:v>
                </c:pt>
                <c:pt idx="3">
                  <c:v>1600</c:v>
                </c:pt>
                <c:pt idx="4">
                  <c:v>5000</c:v>
                </c:pt>
                <c:pt idx="5">
                  <c:v>5400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2-4485-AA00-5A817903C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9685375"/>
        <c:axId val="1209686623"/>
      </c:barChart>
      <c:catAx>
        <c:axId val="120968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686623"/>
        <c:crosses val="autoZero"/>
        <c:auto val="1"/>
        <c:lblAlgn val="ctr"/>
        <c:lblOffset val="100"/>
        <c:noMultiLvlLbl val="0"/>
      </c:catAx>
      <c:valAx>
        <c:axId val="12096866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 [$₹-4009]\ * #,##0.00_ ;_ [$₹-4009]\ * \-#,##0.00_ ;_ [$₹-4009]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685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SWETA%20SUMAN\Desktop\Receipt%20Collection\Receiptno.12.png" TargetMode="Externa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519545</xdr:colOff>
      <xdr:row>0</xdr:row>
      <xdr:rowOff>0</xdr:rowOff>
    </xdr:from>
    <xdr:to>
      <xdr:col>5</xdr:col>
      <xdr:colOff>346363</xdr:colOff>
      <xdr:row>1</xdr:row>
      <xdr:rowOff>40447</xdr:rowOff>
    </xdr:to>
    <xdr:pic>
      <xdr:nvPicPr>
        <xdr:cNvPr id="2" name="Picture 1" descr="Premium Vector | Wallet money cartoon vector clip art">
          <a:extLst>
            <a:ext uri="{FF2B5EF4-FFF2-40B4-BE49-F238E27FC236}">
              <a16:creationId xmlns:a16="http://schemas.microsoft.com/office/drawing/2014/main" id="{AF3A2BEE-F941-423B-8A68-31CBEE502F1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797" t="10344" r="21238" b="11823"/>
        <a:stretch/>
      </xdr:blipFill>
      <xdr:spPr bwMode="auto">
        <a:xfrm>
          <a:off x="3810000" y="0"/>
          <a:ext cx="821009" cy="425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512811</xdr:colOff>
      <xdr:row>1</xdr:row>
      <xdr:rowOff>140407</xdr:rowOff>
    </xdr:from>
    <xdr:to>
      <xdr:col>9</xdr:col>
      <xdr:colOff>1782939</xdr:colOff>
      <xdr:row>9</xdr:row>
      <xdr:rowOff>36946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67579F6-7B3B-4CB7-BFEF-3FAC41C335ED}"/>
            </a:ext>
          </a:extLst>
        </xdr:cNvPr>
        <xdr:cNvSpPr/>
      </xdr:nvSpPr>
      <xdr:spPr>
        <a:xfrm>
          <a:off x="2013720" y="525255"/>
          <a:ext cx="9133865" cy="138462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bg1"/>
              </a:solidFill>
            </a:rPr>
            <a:t>EXPENSE OVERVIEW</a:t>
          </a:r>
        </a:p>
      </xdr:txBody>
    </xdr:sp>
    <xdr:clientData/>
  </xdr:twoCellAnchor>
  <xdr:twoCellAnchor>
    <xdr:from>
      <xdr:col>2</xdr:col>
      <xdr:colOff>519545</xdr:colOff>
      <xdr:row>3</xdr:row>
      <xdr:rowOff>43361</xdr:rowOff>
    </xdr:from>
    <xdr:to>
      <xdr:col>9</xdr:col>
      <xdr:colOff>1783132</xdr:colOff>
      <xdr:row>9</xdr:row>
      <xdr:rowOff>56061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20AFFDE-378E-4F2C-8FE4-AED27BAE2278}"/>
            </a:ext>
          </a:extLst>
        </xdr:cNvPr>
        <xdr:cNvSpPr/>
      </xdr:nvSpPr>
      <xdr:spPr>
        <a:xfrm>
          <a:off x="2020454" y="800230"/>
          <a:ext cx="9127324" cy="11287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298770</xdr:colOff>
      <xdr:row>10</xdr:row>
      <xdr:rowOff>119530</xdr:rowOff>
    </xdr:from>
    <xdr:to>
      <xdr:col>9</xdr:col>
      <xdr:colOff>2031999</xdr:colOff>
      <xdr:row>12</xdr:row>
      <xdr:rowOff>37972</xdr:rowOff>
    </xdr:to>
    <xdr:sp macro="" textlink="">
      <xdr:nvSpPr>
        <xdr:cNvPr id="8" name="AddNewBtn" hidden="1">
          <a:extLst>
            <a:ext uri="{FF2B5EF4-FFF2-40B4-BE49-F238E27FC236}">
              <a16:creationId xmlns:a16="http://schemas.microsoft.com/office/drawing/2014/main" id="{D910840A-33F7-408F-81BB-665BB0309A26}"/>
            </a:ext>
          </a:extLst>
        </xdr:cNvPr>
        <xdr:cNvSpPr/>
      </xdr:nvSpPr>
      <xdr:spPr>
        <a:xfrm>
          <a:off x="12498241" y="2203824"/>
          <a:ext cx="1733229" cy="29197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bg1"/>
              </a:solidFill>
            </a:rPr>
            <a:t>+ Add</a:t>
          </a:r>
          <a:r>
            <a:rPr lang="en-US" sz="1200" b="1" baseline="0">
              <a:solidFill>
                <a:schemeClr val="bg1"/>
              </a:solidFill>
            </a:rPr>
            <a:t> Expense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3189942</xdr:colOff>
      <xdr:row>10</xdr:row>
      <xdr:rowOff>146243</xdr:rowOff>
    </xdr:from>
    <xdr:to>
      <xdr:col>9</xdr:col>
      <xdr:colOff>92878</xdr:colOff>
      <xdr:row>12</xdr:row>
      <xdr:rowOff>44823</xdr:rowOff>
    </xdr:to>
    <xdr:sp macro="[0]!CheckandReview" textlink="$B$8">
      <xdr:nvSpPr>
        <xdr:cNvPr id="9" name="CheckRcptBtn">
          <a:extLst>
            <a:ext uri="{FF2B5EF4-FFF2-40B4-BE49-F238E27FC236}">
              <a16:creationId xmlns:a16="http://schemas.microsoft.com/office/drawing/2014/main" id="{C9809D3B-38B8-418C-AF42-7E620DA06FD2}"/>
            </a:ext>
          </a:extLst>
        </xdr:cNvPr>
        <xdr:cNvSpPr/>
      </xdr:nvSpPr>
      <xdr:spPr>
        <a:xfrm>
          <a:off x="10249648" y="2230537"/>
          <a:ext cx="1833524" cy="27211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F697377-BE62-4AF8-A502-3AA53A7FCA71}" type="TxLink">
            <a:rPr lang="en-US" sz="1100" b="1" i="0" u="none" strike="noStrike">
              <a:solidFill>
                <a:srgbClr val="2F75B5"/>
              </a:solidFill>
              <a:latin typeface="Calibri"/>
              <a:cs typeface="Calibri"/>
            </a:rPr>
            <a:pPr algn="ctr"/>
            <a:t>4 RECEIPT TO REVIEW</a:t>
          </a:fld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295050</xdr:colOff>
      <xdr:row>3</xdr:row>
      <xdr:rowOff>71582</xdr:rowOff>
    </xdr:from>
    <xdr:to>
      <xdr:col>9</xdr:col>
      <xdr:colOff>763283</xdr:colOff>
      <xdr:row>9</xdr:row>
      <xdr:rowOff>38485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A544B8-40CB-4F0C-8631-E955CCE9B7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602929</xdr:colOff>
      <xdr:row>6</xdr:row>
      <xdr:rowOff>141111</xdr:rowOff>
    </xdr:from>
    <xdr:to>
      <xdr:col>4</xdr:col>
      <xdr:colOff>198838</xdr:colOff>
      <xdr:row>8</xdr:row>
      <xdr:rowOff>76970</xdr:rowOff>
    </xdr:to>
    <xdr:sp macro="" textlink="$B$24">
      <xdr:nvSpPr>
        <xdr:cNvPr id="11" name="TextBox 10">
          <a:extLst>
            <a:ext uri="{FF2B5EF4-FFF2-40B4-BE49-F238E27FC236}">
              <a16:creationId xmlns:a16="http://schemas.microsoft.com/office/drawing/2014/main" id="{F2B60CCB-0503-4F3F-AA47-10D363D7D924}"/>
            </a:ext>
          </a:extLst>
        </xdr:cNvPr>
        <xdr:cNvSpPr txBox="1"/>
      </xdr:nvSpPr>
      <xdr:spPr>
        <a:xfrm>
          <a:off x="2103838" y="1456010"/>
          <a:ext cx="1205859" cy="3078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D180787-DC3E-470B-820D-384DBC0AEA2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₹ 16,159.00 </a:t>
          </a:fld>
          <a:endParaRPr lang="en-US" sz="1100"/>
        </a:p>
      </xdr:txBody>
    </xdr:sp>
    <xdr:clientData/>
  </xdr:twoCellAnchor>
  <xdr:twoCellAnchor>
    <xdr:from>
      <xdr:col>3</xdr:col>
      <xdr:colOff>19243</xdr:colOff>
      <xdr:row>4</xdr:row>
      <xdr:rowOff>160353</xdr:rowOff>
    </xdr:from>
    <xdr:to>
      <xdr:col>4</xdr:col>
      <xdr:colOff>186010</xdr:colOff>
      <xdr:row>6</xdr:row>
      <xdr:rowOff>12828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4E8FD44-A9B7-4511-AF15-05B2C3744012}"/>
            </a:ext>
          </a:extLst>
        </xdr:cNvPr>
        <xdr:cNvSpPr txBox="1"/>
      </xdr:nvSpPr>
      <xdr:spPr>
        <a:xfrm>
          <a:off x="2309091" y="1103232"/>
          <a:ext cx="1167374" cy="2244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ANNUAL</a:t>
          </a:r>
          <a:r>
            <a:rPr lang="en-US" sz="1100" baseline="0"/>
            <a:t> TOTAL</a:t>
          </a:r>
          <a:endParaRPr lang="en-US" sz="1100"/>
        </a:p>
      </xdr:txBody>
    </xdr:sp>
    <xdr:clientData/>
  </xdr:twoCellAnchor>
  <xdr:twoCellAnchor>
    <xdr:from>
      <xdr:col>7</xdr:col>
      <xdr:colOff>388469</xdr:colOff>
      <xdr:row>10</xdr:row>
      <xdr:rowOff>136806</xdr:rowOff>
    </xdr:from>
    <xdr:to>
      <xdr:col>7</xdr:col>
      <xdr:colOff>2129896</xdr:colOff>
      <xdr:row>12</xdr:row>
      <xdr:rowOff>89647</xdr:rowOff>
    </xdr:to>
    <xdr:sp macro="" textlink="">
      <xdr:nvSpPr>
        <xdr:cNvPr id="13" name="SaveExpBtn">
          <a:extLst>
            <a:ext uri="{FF2B5EF4-FFF2-40B4-BE49-F238E27FC236}">
              <a16:creationId xmlns:a16="http://schemas.microsoft.com/office/drawing/2014/main" id="{487BB9E2-F2CF-43DC-A46B-DB1BA9791D6C}"/>
            </a:ext>
          </a:extLst>
        </xdr:cNvPr>
        <xdr:cNvSpPr/>
      </xdr:nvSpPr>
      <xdr:spPr>
        <a:xfrm>
          <a:off x="7448175" y="2221100"/>
          <a:ext cx="1741427" cy="32637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  <a:sym typeface="Wingdings" panose="05000000000000000000" pitchFamily="2" charset="2"/>
            </a:rPr>
            <a:t>  </a:t>
          </a:r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Expenses</a:t>
          </a:r>
          <a:endParaRPr lang="en-US" sz="1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1195295</xdr:colOff>
      <xdr:row>15</xdr:row>
      <xdr:rowOff>156882</xdr:rowOff>
    </xdr:from>
    <xdr:to>
      <xdr:col>9</xdr:col>
      <xdr:colOff>1277471</xdr:colOff>
      <xdr:row>17</xdr:row>
      <xdr:rowOff>89646</xdr:rowOff>
    </xdr:to>
    <xdr:sp macro="" textlink="">
      <xdr:nvSpPr>
        <xdr:cNvPr id="5" name="SaveNextButton">
          <a:extLst>
            <a:ext uri="{FF2B5EF4-FFF2-40B4-BE49-F238E27FC236}">
              <a16:creationId xmlns:a16="http://schemas.microsoft.com/office/drawing/2014/main" id="{B93CA53F-F62F-4C70-A41C-5869983F5A4D}"/>
            </a:ext>
          </a:extLst>
        </xdr:cNvPr>
        <xdr:cNvSpPr/>
      </xdr:nvSpPr>
      <xdr:spPr>
        <a:xfrm>
          <a:off x="11586883" y="3175000"/>
          <a:ext cx="1680882" cy="306293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SAVE AND</a:t>
          </a:r>
          <a:r>
            <a:rPr lang="en-US" sz="1400" b="1" baseline="0">
              <a:solidFill>
                <a:schemeClr val="bg1"/>
              </a:solidFill>
            </a:rPr>
            <a:t> NEXT &gt;&gt;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2062746</xdr:colOff>
      <xdr:row>27</xdr:row>
      <xdr:rowOff>95997</xdr:rowOff>
    </xdr:to>
    <xdr:pic>
      <xdr:nvPicPr>
        <xdr:cNvPr id="29" name="ReceiptPic">
          <a:extLst>
            <a:ext uri="{FF2B5EF4-FFF2-40B4-BE49-F238E27FC236}">
              <a16:creationId xmlns:a16="http://schemas.microsoft.com/office/drawing/2014/main" id="{D113EF00-D6D0-43EE-9556-559508E9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843250" y="952500"/>
          <a:ext cx="2062746" cy="444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4D00A-6BBF-4ECA-A57B-465D284CC6A3}">
  <sheetPr codeName="Sheet1">
    <pageSetUpPr autoPageBreaks="0"/>
  </sheetPr>
  <dimension ref="A1:P70"/>
  <sheetViews>
    <sheetView tabSelected="1" zoomScale="85" zoomScaleNormal="85" workbookViewId="0">
      <selection activeCell="E15" sqref="E15"/>
    </sheetView>
  </sheetViews>
  <sheetFormatPr defaultRowHeight="14.5" x14ac:dyDescent="0.35"/>
  <cols>
    <col min="1" max="1" width="12.7265625" style="18" bestFit="1" customWidth="1"/>
    <col min="2" max="2" width="19.26953125" style="18" bestFit="1" customWidth="1"/>
    <col min="3" max="3" width="8.7265625" style="1" customWidth="1"/>
    <col min="4" max="4" width="14.36328125" customWidth="1"/>
    <col min="5" max="5" width="14.26953125" customWidth="1"/>
    <col min="6" max="6" width="15.26953125" customWidth="1"/>
    <col min="7" max="7" width="16.453125" bestFit="1" customWidth="1"/>
    <col min="8" max="8" width="33.90625" customWidth="1"/>
    <col min="9" max="9" width="62.08984375" bestFit="1" customWidth="1"/>
    <col min="10" max="11" width="29.7265625" customWidth="1"/>
    <col min="12" max="12" width="47.1796875" customWidth="1"/>
    <col min="13" max="13" width="15.36328125" bestFit="1" customWidth="1"/>
    <col min="14" max="14" width="50.36328125" customWidth="1"/>
    <col min="15" max="15" width="25.54296875" customWidth="1"/>
  </cols>
  <sheetData>
    <row r="1" spans="1:16" ht="30.5" x14ac:dyDescent="0.85">
      <c r="C1" s="50" t="s">
        <v>0</v>
      </c>
      <c r="D1" s="50"/>
      <c r="E1" s="50"/>
      <c r="F1" s="50"/>
      <c r="G1" s="50"/>
      <c r="H1" s="50"/>
      <c r="I1" s="50"/>
      <c r="J1" s="50"/>
      <c r="K1" s="44"/>
      <c r="L1" s="27"/>
      <c r="M1" s="32"/>
      <c r="N1" s="32"/>
      <c r="O1" s="32"/>
      <c r="P1" s="32"/>
    </row>
    <row r="2" spans="1:16" ht="15" thickBot="1" x14ac:dyDescent="0.4">
      <c r="D2" s="2"/>
      <c r="E2" s="2"/>
      <c r="F2" s="2"/>
      <c r="G2" s="2"/>
      <c r="H2" s="2"/>
      <c r="I2" s="2"/>
      <c r="J2" s="2"/>
      <c r="K2" s="2"/>
      <c r="L2" s="38" t="s">
        <v>40</v>
      </c>
      <c r="M2" s="35" t="s">
        <v>39</v>
      </c>
      <c r="N2" s="2"/>
      <c r="O2" s="2"/>
      <c r="P2" s="2"/>
    </row>
    <row r="3" spans="1:16" ht="15" thickBot="1" x14ac:dyDescent="0.4">
      <c r="D3" s="2"/>
      <c r="E3" s="2"/>
      <c r="F3" s="2"/>
      <c r="G3" s="2"/>
      <c r="H3" s="2"/>
      <c r="I3" s="2"/>
      <c r="J3" s="2"/>
      <c r="K3" s="2"/>
      <c r="L3" s="36" t="s">
        <v>37</v>
      </c>
      <c r="M3" s="37" t="str" cm="1">
        <f t="array" ref="M3">IFERROR(INDEX(ListFiles,ROW()-2),0)</f>
        <v>Receipt no.26.jpg</v>
      </c>
      <c r="N3" s="2"/>
      <c r="O3" s="2"/>
      <c r="P3" s="2"/>
    </row>
    <row r="4" spans="1:16" x14ac:dyDescent="0.35">
      <c r="D4" s="2"/>
      <c r="E4" s="2"/>
      <c r="F4" s="2"/>
      <c r="G4" s="2"/>
      <c r="H4" s="2"/>
      <c r="I4" s="2"/>
      <c r="J4" s="2"/>
      <c r="K4" s="2"/>
      <c r="L4" s="2"/>
      <c r="M4" s="37" t="str" cm="1">
        <f t="array" ref="M4">IFERROR(INDEX(ListFiles,ROW()-2),0)</f>
        <v>Receiptno.12.png</v>
      </c>
      <c r="N4" s="2"/>
      <c r="O4" s="2"/>
      <c r="P4" s="2"/>
    </row>
    <row r="5" spans="1:16" x14ac:dyDescent="0.35">
      <c r="A5" s="20" t="s">
        <v>8</v>
      </c>
      <c r="B5" s="19" t="b">
        <v>1</v>
      </c>
      <c r="D5" s="2"/>
      <c r="E5" s="2"/>
      <c r="F5" s="2"/>
      <c r="G5" s="2"/>
      <c r="H5" s="2"/>
      <c r="I5" s="2"/>
      <c r="J5" s="2"/>
      <c r="K5" s="2"/>
      <c r="L5" s="59" t="s">
        <v>44</v>
      </c>
      <c r="M5" s="37" t="str" cm="1">
        <f t="array" ref="M5">IFERROR(INDEX(ListFiles,ROW()-2),0)</f>
        <v>Receiptno.13.png</v>
      </c>
      <c r="N5" s="2"/>
      <c r="O5" s="2"/>
      <c r="P5" s="2"/>
    </row>
    <row r="6" spans="1:16" x14ac:dyDescent="0.35">
      <c r="A6" s="20" t="s">
        <v>9</v>
      </c>
      <c r="B6" s="19" t="b">
        <v>1</v>
      </c>
      <c r="D6" s="2"/>
      <c r="E6" s="2"/>
      <c r="F6" s="2"/>
      <c r="G6" s="2"/>
      <c r="H6" s="2"/>
      <c r="I6" s="2"/>
      <c r="J6" s="2"/>
      <c r="K6" s="2"/>
      <c r="L6" s="60" t="s">
        <v>28</v>
      </c>
      <c r="M6" s="37" t="str" cm="1">
        <f t="array" ref="M6">IFERROR(INDEX(ListFiles,ROW()-2),0)</f>
        <v>Receiptno.25.jpg</v>
      </c>
      <c r="N6" s="2"/>
      <c r="O6" s="2"/>
      <c r="P6" s="2"/>
    </row>
    <row r="7" spans="1:16" x14ac:dyDescent="0.35">
      <c r="A7" s="20" t="s">
        <v>10</v>
      </c>
      <c r="B7" s="19">
        <f>IF(COUNTIF(M2:M38,"&lt;&gt;0"),COUNTA(ListFiles),0)</f>
        <v>4</v>
      </c>
      <c r="D7" s="2"/>
      <c r="E7" s="2"/>
      <c r="F7" s="2"/>
      <c r="G7" s="2"/>
      <c r="H7" s="2"/>
      <c r="I7" s="2"/>
      <c r="J7" s="2"/>
      <c r="K7" s="2"/>
      <c r="L7" s="60" t="s">
        <v>45</v>
      </c>
      <c r="M7" s="37" cm="1">
        <f t="array" ref="M7">IFERROR(INDEX(ListFiles,ROW()-2),0)</f>
        <v>0</v>
      </c>
      <c r="N7" s="2"/>
      <c r="O7" s="2"/>
      <c r="P7" s="2"/>
    </row>
    <row r="8" spans="1:16" x14ac:dyDescent="0.35">
      <c r="A8" s="20" t="s">
        <v>11</v>
      </c>
      <c r="B8" s="42" t="str">
        <f>IF(B7=0,"CHECK FOR RECEIPT",B7&amp;" RECEIPT TO REVIEW")</f>
        <v>4 RECEIPT TO REVIEW</v>
      </c>
      <c r="D8" s="2"/>
      <c r="E8" s="2"/>
      <c r="F8" s="2"/>
      <c r="G8" s="2"/>
      <c r="H8" s="2"/>
      <c r="I8" s="2"/>
      <c r="J8" s="2"/>
      <c r="K8" s="2"/>
      <c r="L8" s="60" t="s">
        <v>30</v>
      </c>
      <c r="M8" s="37" cm="1">
        <f t="array" ref="M8">IFERROR(INDEX(ListFiles,ROW()-2),0)</f>
        <v>0</v>
      </c>
      <c r="N8" s="2"/>
      <c r="O8" s="2"/>
      <c r="P8" s="2"/>
    </row>
    <row r="9" spans="1:16" x14ac:dyDescent="0.35">
      <c r="A9" s="20" t="s">
        <v>12</v>
      </c>
      <c r="B9" s="19">
        <v>21</v>
      </c>
      <c r="D9" s="2"/>
      <c r="E9" s="2"/>
      <c r="F9" s="2"/>
      <c r="G9" s="2"/>
      <c r="H9" s="2"/>
      <c r="I9" s="2"/>
      <c r="J9" s="2"/>
      <c r="K9" s="2"/>
      <c r="L9" s="60"/>
      <c r="M9" s="37" cm="1">
        <f t="array" ref="M9">IFERROR(INDEX(ListFiles,ROW()-2),0)</f>
        <v>0</v>
      </c>
      <c r="N9" s="2"/>
      <c r="O9" s="2"/>
      <c r="P9" s="2"/>
    </row>
    <row r="10" spans="1:16" x14ac:dyDescent="0.35">
      <c r="C10" s="1" t="s">
        <v>7</v>
      </c>
      <c r="D10" s="2"/>
      <c r="E10" s="2"/>
      <c r="F10" s="2"/>
      <c r="G10" s="2"/>
      <c r="H10" s="2"/>
      <c r="I10" s="2"/>
      <c r="J10" s="2"/>
      <c r="K10" s="2"/>
      <c r="L10" s="2"/>
      <c r="M10" s="37" cm="1">
        <f t="array" ref="M10">IFERROR(INDEX(ListFiles,ROW()-2),0)</f>
        <v>0</v>
      </c>
      <c r="N10" s="2"/>
      <c r="O10" s="2"/>
      <c r="P10" s="2"/>
    </row>
    <row r="11" spans="1:16" ht="15" thickBot="1" x14ac:dyDescent="0.4">
      <c r="A11" s="20" t="s">
        <v>27</v>
      </c>
      <c r="B11" s="20" t="s">
        <v>26</v>
      </c>
      <c r="D11" s="3" t="s">
        <v>1</v>
      </c>
      <c r="E11" s="4">
        <v>2020</v>
      </c>
      <c r="F11" s="2"/>
      <c r="G11" s="2"/>
      <c r="H11" s="2"/>
      <c r="I11" s="2"/>
      <c r="J11" s="2"/>
      <c r="K11" s="2"/>
      <c r="L11" s="59" t="s">
        <v>46</v>
      </c>
      <c r="M11" s="37" cm="1">
        <f t="array" ref="M11">IFERROR(INDEX(ListFiles,ROW()-2),0)</f>
        <v>0</v>
      </c>
      <c r="N11" s="2"/>
      <c r="O11" s="2"/>
      <c r="P11" s="2"/>
    </row>
    <row r="12" spans="1:16" ht="15.5" thickTop="1" thickBot="1" x14ac:dyDescent="0.4">
      <c r="A12" s="22" t="s">
        <v>13</v>
      </c>
      <c r="B12" s="30" cm="1">
        <f t="array" aca="1" ref="B12" ca="1">SUMIFS(ExpAmount,ExpDate,"&gt;="&amp;DATE($E$11,ROW()-11,1),ExpDate,"&lt;="&amp;EOMONTH(DATE($E$11,ROW()-11,1),0))</f>
        <v>599</v>
      </c>
      <c r="D12" s="2"/>
      <c r="E12" s="2"/>
      <c r="F12" s="2"/>
      <c r="G12" s="2"/>
      <c r="H12" s="2"/>
      <c r="I12" s="2"/>
      <c r="J12" s="2"/>
      <c r="K12" s="2"/>
      <c r="L12" s="24" t="s">
        <v>32</v>
      </c>
      <c r="M12" s="37" cm="1">
        <f t="array" ref="M12">IFERROR(INDEX(ListFiles,ROW()-2),0)</f>
        <v>0</v>
      </c>
      <c r="N12" s="2"/>
      <c r="O12" s="2"/>
      <c r="P12" s="2"/>
    </row>
    <row r="13" spans="1:16" ht="15.5" thickTop="1" thickBot="1" x14ac:dyDescent="0.4">
      <c r="A13" s="22" t="s">
        <v>14</v>
      </c>
      <c r="B13" s="30" cm="1">
        <f t="array" aca="1" ref="B13" ca="1">SUMIFS(ExpAmount,ExpDate,"&gt;="&amp;DATE($E$11,ROW()-11,1),ExpDate,"&lt;="&amp;EOMONTH(DATE($E$11,ROW()-11,1),0))</f>
        <v>2000</v>
      </c>
      <c r="D13" s="3"/>
      <c r="E13" s="2"/>
      <c r="F13" s="2"/>
      <c r="G13" s="2"/>
      <c r="H13" s="2"/>
      <c r="I13" s="2"/>
      <c r="J13" s="2"/>
      <c r="K13" s="2"/>
      <c r="L13" s="24" t="s">
        <v>33</v>
      </c>
      <c r="M13" s="37" cm="1">
        <f t="array" ref="M13">IFERROR(INDEX(ListFiles,ROW()-2),0)</f>
        <v>0</v>
      </c>
      <c r="N13" s="2"/>
      <c r="O13" s="2"/>
      <c r="P13" s="2"/>
    </row>
    <row r="14" spans="1:16" ht="15.5" thickTop="1" thickBot="1" x14ac:dyDescent="0.4">
      <c r="A14" s="22" t="s">
        <v>15</v>
      </c>
      <c r="B14" s="30" cm="1">
        <f t="array" aca="1" ref="B14" ca="1">SUMIFS(ExpAmount,ExpDate,"&gt;="&amp;DATE($E$11,ROW()-11,1),ExpDate,"&lt;="&amp;EOMONTH(DATE($E$11,ROW()-11,1),0))</f>
        <v>1560</v>
      </c>
      <c r="D14" s="15"/>
      <c r="E14" s="16"/>
      <c r="F14" s="16"/>
      <c r="G14" s="16"/>
      <c r="H14" s="16"/>
      <c r="I14" s="16"/>
      <c r="J14" s="6"/>
      <c r="K14" s="8"/>
      <c r="L14" s="24" t="s">
        <v>35</v>
      </c>
      <c r="M14" s="37" cm="1">
        <f t="array" ref="M14">IFERROR(INDEX(ListFiles,ROW()-2),0)</f>
        <v>0</v>
      </c>
      <c r="N14" s="2"/>
      <c r="O14" s="2"/>
      <c r="P14" s="2"/>
    </row>
    <row r="15" spans="1:16" ht="15" thickTop="1" x14ac:dyDescent="0.35">
      <c r="A15" s="22" t="s">
        <v>16</v>
      </c>
      <c r="B15" s="30" cm="1">
        <f t="array" aca="1" ref="B15" ca="1">SUMIFS(ExpAmount,ExpDate,"&gt;="&amp;DATE($E$11,ROW()-11,1),ExpDate,"&lt;="&amp;EOMONTH(DATE($E$11,ROW()-11,1),0))</f>
        <v>1600</v>
      </c>
      <c r="D15" s="10" t="s">
        <v>2</v>
      </c>
      <c r="E15" s="56">
        <v>43740</v>
      </c>
      <c r="F15" s="11" t="s">
        <v>3</v>
      </c>
      <c r="G15" s="5" t="s">
        <v>45</v>
      </c>
      <c r="H15" s="11" t="s">
        <v>4</v>
      </c>
      <c r="I15" s="41" t="s">
        <v>43</v>
      </c>
      <c r="J15" s="11"/>
      <c r="K15" s="11"/>
      <c r="L15" s="45"/>
      <c r="M15" s="37" cm="1">
        <f t="array" ref="M15">IFERROR(INDEX(ListFiles,ROW()-2),0)</f>
        <v>0</v>
      </c>
      <c r="N15" s="2"/>
      <c r="O15" s="2"/>
      <c r="P15" s="2"/>
    </row>
    <row r="16" spans="1:16" x14ac:dyDescent="0.35">
      <c r="A16" s="22" t="s">
        <v>17</v>
      </c>
      <c r="B16" s="30" cm="1">
        <f t="array" aca="1" ref="B16" ca="1">SUMIFS(ExpAmount,ExpDate,"&gt;="&amp;DATE($E$11,ROW()-11,1),ExpDate,"&lt;="&amp;EOMONTH(DATE($E$11,ROW()-11,1),0))</f>
        <v>5000</v>
      </c>
      <c r="D16" s="7"/>
      <c r="E16" s="8"/>
      <c r="F16" s="8"/>
      <c r="G16" s="8"/>
      <c r="H16" s="8"/>
      <c r="I16" s="8"/>
      <c r="J16" s="9"/>
      <c r="K16" s="8"/>
      <c r="L16" s="2"/>
      <c r="M16" s="37"/>
      <c r="N16" s="2"/>
      <c r="O16" s="2"/>
      <c r="P16" s="2"/>
    </row>
    <row r="17" spans="1:16" x14ac:dyDescent="0.35">
      <c r="A17" s="22" t="s">
        <v>18</v>
      </c>
      <c r="B17" s="30" cm="1">
        <f t="array" aca="1" ref="B17" ca="1">SUMIFS(ExpAmount,ExpDate,"&gt;="&amp;DATE($E$11,ROW()-11,1),ExpDate,"&lt;="&amp;EOMONTH(DATE($E$11,ROW()-11,1),0))</f>
        <v>5400</v>
      </c>
      <c r="D17" s="10" t="s">
        <v>5</v>
      </c>
      <c r="E17" s="61">
        <v>500</v>
      </c>
      <c r="F17" s="11" t="s">
        <v>6</v>
      </c>
      <c r="G17" s="5" t="s">
        <v>33</v>
      </c>
      <c r="H17" s="8"/>
      <c r="I17" s="8"/>
      <c r="J17" s="9"/>
      <c r="K17" s="8"/>
      <c r="L17" s="2"/>
      <c r="M17" s="37"/>
      <c r="N17" s="2"/>
      <c r="O17" s="2"/>
      <c r="P17" s="2"/>
    </row>
    <row r="18" spans="1:16" x14ac:dyDescent="0.35">
      <c r="A18" s="22" t="s">
        <v>19</v>
      </c>
      <c r="B18" s="30" cm="1">
        <f t="array" aca="1" ref="B18" ca="1">SUMIFS(ExpAmount,ExpDate,"&gt;="&amp;DATE($E$11,ROW()-11,1),ExpDate,"&lt;="&amp;EOMONTH(DATE($E$11,ROW()-11,1),0))</f>
        <v>0</v>
      </c>
      <c r="D18" s="12"/>
      <c r="E18" s="13"/>
      <c r="F18" s="13"/>
      <c r="G18" s="13"/>
      <c r="H18" s="13"/>
      <c r="I18" s="13"/>
      <c r="J18" s="14"/>
      <c r="K18" s="8"/>
      <c r="L18" s="2"/>
      <c r="M18" s="37"/>
      <c r="N18" s="2"/>
      <c r="O18" s="2"/>
      <c r="P18" s="2"/>
    </row>
    <row r="19" spans="1:16" x14ac:dyDescent="0.35">
      <c r="A19" s="22" t="s">
        <v>20</v>
      </c>
      <c r="B19" s="30" cm="1">
        <f t="array" aca="1" ref="B19" ca="1">SUMIFS(ExpAmount,ExpDate,"&gt;="&amp;DATE($E$11,ROW()-11,1),ExpDate,"&lt;="&amp;EOMONTH(DATE($E$11,ROW()-11,1),0))</f>
        <v>0</v>
      </c>
      <c r="D19" s="2"/>
      <c r="E19" s="2"/>
      <c r="F19" s="2"/>
      <c r="G19" s="2"/>
      <c r="H19" s="2"/>
      <c r="I19" s="2"/>
      <c r="J19" s="2"/>
      <c r="K19" s="2"/>
      <c r="L19" s="2"/>
      <c r="M19" s="37"/>
      <c r="N19" s="2"/>
      <c r="O19" s="2"/>
      <c r="P19" s="2"/>
    </row>
    <row r="20" spans="1:16" ht="15" thickBot="1" x14ac:dyDescent="0.4">
      <c r="A20" s="22" t="s">
        <v>21</v>
      </c>
      <c r="B20" s="30" cm="1">
        <f t="array" aca="1" ref="B20" ca="1">SUMIFS(ExpAmount,ExpDate,"&gt;="&amp;DATE($E$11,ROW()-11,1),ExpDate,"&lt;="&amp;EOMONTH(DATE($E$11,ROW()-11,1),0))</f>
        <v>0</v>
      </c>
      <c r="D20" s="2"/>
      <c r="E20" s="2"/>
      <c r="F20" s="2"/>
      <c r="G20" s="2"/>
      <c r="H20" s="2"/>
      <c r="I20" s="2"/>
      <c r="J20" s="2"/>
      <c r="K20" s="2"/>
      <c r="L20" s="2"/>
      <c r="M20" s="37"/>
      <c r="N20" s="2"/>
      <c r="O20" s="2"/>
      <c r="P20" s="2"/>
    </row>
    <row r="21" spans="1:16" x14ac:dyDescent="0.35">
      <c r="A21" s="22" t="s">
        <v>22</v>
      </c>
      <c r="B21" s="30" cm="1">
        <f t="array" aca="1" ref="B21" ca="1">SUMIFS(ExpAmount,ExpDate,"&gt;="&amp;DATE($E$11,ROW()-11,1),ExpDate,"&lt;="&amp;EOMONTH(DATE($E$11,ROW()-11,1),0))</f>
        <v>0</v>
      </c>
      <c r="D21" s="53" t="s">
        <v>36</v>
      </c>
      <c r="E21" s="54"/>
      <c r="F21" s="54"/>
      <c r="G21" s="54"/>
      <c r="H21" s="54"/>
      <c r="I21" s="54"/>
      <c r="J21" s="55"/>
      <c r="K21" s="57"/>
      <c r="L21" s="2"/>
      <c r="M21" s="37"/>
      <c r="N21" s="2"/>
      <c r="O21" s="2"/>
      <c r="P21" s="2"/>
    </row>
    <row r="22" spans="1:16" ht="15" thickBot="1" x14ac:dyDescent="0.4">
      <c r="A22" s="22" t="s">
        <v>23</v>
      </c>
      <c r="B22" s="30" cm="1">
        <f t="array" aca="1" ref="B22" ca="1">SUMIFS(ExpAmount,ExpDate,"&gt;="&amp;DATE($E$11,ROW()-11,1),ExpDate,"&lt;="&amp;EOMONTH(DATE($E$11,ROW()-11,1),0))</f>
        <v>0</v>
      </c>
      <c r="D22" s="29" t="s">
        <v>2</v>
      </c>
      <c r="E22" s="17" t="s">
        <v>5</v>
      </c>
      <c r="F22" s="17" t="s">
        <v>3</v>
      </c>
      <c r="G22" s="17" t="s">
        <v>6</v>
      </c>
      <c r="H22" s="40" t="s">
        <v>41</v>
      </c>
      <c r="I22" s="40" t="s">
        <v>42</v>
      </c>
      <c r="J22" s="34"/>
      <c r="K22" s="58"/>
      <c r="L22" s="2"/>
      <c r="M22" s="37"/>
      <c r="N22" s="2"/>
      <c r="O22" s="2"/>
      <c r="P22" s="2"/>
    </row>
    <row r="23" spans="1:16" ht="15.5" thickTop="1" thickBot="1" x14ac:dyDescent="0.4">
      <c r="A23" s="23" t="s">
        <v>24</v>
      </c>
      <c r="B23" s="30" cm="1">
        <f t="array" aca="1" ref="B23" ca="1">SUMIFS(ExpAmount,ExpDate,"&gt;="&amp;DATE($E$11,ROW()-11,1),ExpDate,"&lt;="&amp;EOMONTH(DATE($E$11,ROW()-11,1),0))</f>
        <v>0</v>
      </c>
      <c r="D23" s="28">
        <v>43832</v>
      </c>
      <c r="E23" s="26">
        <v>599</v>
      </c>
      <c r="F23" s="24" t="s">
        <v>28</v>
      </c>
      <c r="G23" s="24" t="s">
        <v>32</v>
      </c>
      <c r="H23" s="39" t="s">
        <v>38</v>
      </c>
      <c r="I23" s="51"/>
      <c r="J23" s="52"/>
      <c r="K23" s="43"/>
      <c r="L23" s="2"/>
      <c r="M23" s="37"/>
      <c r="N23" s="2"/>
      <c r="O23" s="2"/>
      <c r="P23" s="2"/>
    </row>
    <row r="24" spans="1:16" ht="15.5" thickTop="1" thickBot="1" x14ac:dyDescent="0.4">
      <c r="A24" s="21" t="s">
        <v>25</v>
      </c>
      <c r="B24" s="31">
        <f ca="1">SUM(B12:B23)</f>
        <v>16159</v>
      </c>
      <c r="D24" s="28">
        <v>43866</v>
      </c>
      <c r="E24" s="26">
        <v>2000</v>
      </c>
      <c r="F24" s="24" t="s">
        <v>29</v>
      </c>
      <c r="G24" s="24" t="s">
        <v>33</v>
      </c>
      <c r="H24" s="39" t="s">
        <v>38</v>
      </c>
      <c r="I24" s="48"/>
      <c r="J24" s="49"/>
      <c r="K24" s="43"/>
      <c r="L24" s="2"/>
      <c r="M24" s="37"/>
      <c r="N24" s="2"/>
      <c r="O24" s="2"/>
      <c r="P24" s="2"/>
    </row>
    <row r="25" spans="1:16" ht="15.5" thickTop="1" thickBot="1" x14ac:dyDescent="0.4">
      <c r="D25" s="28">
        <v>43895</v>
      </c>
      <c r="E25" s="26">
        <v>1560</v>
      </c>
      <c r="F25" s="24" t="s">
        <v>30</v>
      </c>
      <c r="G25" s="24" t="s">
        <v>34</v>
      </c>
      <c r="H25" s="39" t="s">
        <v>38</v>
      </c>
      <c r="I25" s="48"/>
      <c r="J25" s="49"/>
      <c r="K25" s="43"/>
      <c r="L25" s="2"/>
      <c r="M25" s="37"/>
      <c r="N25" s="2"/>
      <c r="O25" s="2"/>
      <c r="P25" s="2"/>
    </row>
    <row r="26" spans="1:16" ht="15.5" thickTop="1" thickBot="1" x14ac:dyDescent="0.4">
      <c r="D26" s="28">
        <v>43928</v>
      </c>
      <c r="E26" s="26">
        <v>1600</v>
      </c>
      <c r="F26" s="24" t="s">
        <v>31</v>
      </c>
      <c r="G26" s="24" t="s">
        <v>35</v>
      </c>
      <c r="H26" s="39" t="s">
        <v>38</v>
      </c>
      <c r="I26" s="48"/>
      <c r="J26" s="49"/>
      <c r="K26" s="43"/>
      <c r="L26" s="2"/>
      <c r="M26" s="37"/>
      <c r="N26" s="2"/>
      <c r="O26" s="2"/>
      <c r="P26" s="2"/>
    </row>
    <row r="27" spans="1:16" ht="15.5" thickTop="1" thickBot="1" x14ac:dyDescent="0.4">
      <c r="D27" s="28">
        <v>43959</v>
      </c>
      <c r="E27" s="26">
        <v>5000</v>
      </c>
      <c r="F27" s="24" t="s">
        <v>30</v>
      </c>
      <c r="G27" s="24" t="s">
        <v>32</v>
      </c>
      <c r="H27" s="39" t="s">
        <v>38</v>
      </c>
      <c r="I27" s="48"/>
      <c r="J27" s="49"/>
      <c r="K27" s="43"/>
      <c r="L27" s="2"/>
      <c r="M27" s="37"/>
      <c r="N27" s="2"/>
      <c r="O27" s="2"/>
      <c r="P27" s="2"/>
    </row>
    <row r="28" spans="1:16" ht="15.5" thickTop="1" thickBot="1" x14ac:dyDescent="0.4">
      <c r="D28" s="28">
        <v>43994</v>
      </c>
      <c r="E28" s="26">
        <v>5400</v>
      </c>
      <c r="F28" s="24" t="s">
        <v>28</v>
      </c>
      <c r="G28" s="24" t="s">
        <v>33</v>
      </c>
      <c r="H28" s="39" t="s">
        <v>38</v>
      </c>
      <c r="I28" s="48"/>
      <c r="J28" s="49"/>
      <c r="K28" s="43"/>
      <c r="L28" s="2"/>
      <c r="M28" s="37"/>
      <c r="N28" s="2"/>
      <c r="O28" s="2"/>
      <c r="P28" s="2"/>
    </row>
    <row r="29" spans="1:16" ht="15.5" thickTop="1" thickBot="1" x14ac:dyDescent="0.4">
      <c r="D29" s="28"/>
      <c r="E29" s="24"/>
      <c r="F29" s="24"/>
      <c r="G29" s="24"/>
      <c r="H29" s="33"/>
      <c r="I29" s="48"/>
      <c r="J29" s="49"/>
      <c r="K29" s="43"/>
      <c r="L29" s="2"/>
      <c r="M29" s="37"/>
      <c r="N29" s="2"/>
      <c r="O29" s="2"/>
      <c r="P29" s="2"/>
    </row>
    <row r="30" spans="1:16" ht="15.5" thickTop="1" thickBot="1" x14ac:dyDescent="0.4">
      <c r="D30" s="28"/>
      <c r="E30" s="24"/>
      <c r="F30" s="24"/>
      <c r="G30" s="24"/>
      <c r="H30" s="33"/>
      <c r="I30" s="48"/>
      <c r="J30" s="49"/>
      <c r="K30" s="43"/>
      <c r="L30" s="2"/>
      <c r="M30" s="37"/>
      <c r="N30" s="2"/>
      <c r="O30" s="2"/>
      <c r="P30" s="2"/>
    </row>
    <row r="31" spans="1:16" ht="15.5" thickTop="1" thickBot="1" x14ac:dyDescent="0.4">
      <c r="D31" s="28"/>
      <c r="E31" s="24"/>
      <c r="F31" s="24"/>
      <c r="G31" s="24"/>
      <c r="H31" s="33"/>
      <c r="I31" s="48"/>
      <c r="J31" s="49"/>
      <c r="K31" s="43"/>
      <c r="L31" s="2"/>
      <c r="M31" s="37"/>
      <c r="N31" s="2"/>
      <c r="O31" s="2"/>
      <c r="P31" s="2"/>
    </row>
    <row r="32" spans="1:16" ht="15.5" thickTop="1" thickBot="1" x14ac:dyDescent="0.4">
      <c r="D32" s="28"/>
      <c r="E32" s="24"/>
      <c r="F32" s="24"/>
      <c r="G32" s="24"/>
      <c r="H32" s="33"/>
      <c r="I32" s="48"/>
      <c r="J32" s="49"/>
      <c r="K32" s="43"/>
      <c r="L32" s="2"/>
      <c r="M32" s="37"/>
      <c r="N32" s="2"/>
      <c r="O32" s="2"/>
      <c r="P32" s="2"/>
    </row>
    <row r="33" spans="4:16" ht="15.5" thickTop="1" thickBot="1" x14ac:dyDescent="0.4">
      <c r="D33" s="28"/>
      <c r="E33" s="24"/>
      <c r="F33" s="24"/>
      <c r="G33" s="24"/>
      <c r="H33" s="33"/>
      <c r="I33" s="48"/>
      <c r="J33" s="49"/>
      <c r="K33" s="43"/>
      <c r="L33" s="2"/>
      <c r="M33" s="37"/>
      <c r="N33" s="2"/>
      <c r="O33" s="2"/>
      <c r="P33" s="2"/>
    </row>
    <row r="34" spans="4:16" ht="15.5" thickTop="1" thickBot="1" x14ac:dyDescent="0.4">
      <c r="D34" s="28"/>
      <c r="E34" s="24"/>
      <c r="F34" s="24"/>
      <c r="G34" s="24"/>
      <c r="H34" s="33"/>
      <c r="I34" s="48"/>
      <c r="J34" s="49"/>
      <c r="K34" s="43"/>
      <c r="L34" s="2"/>
      <c r="M34" s="37"/>
      <c r="N34" s="2"/>
      <c r="O34" s="2"/>
      <c r="P34" s="2"/>
    </row>
    <row r="35" spans="4:16" ht="15.5" thickTop="1" thickBot="1" x14ac:dyDescent="0.4">
      <c r="D35" s="28"/>
      <c r="E35" s="24"/>
      <c r="F35" s="24"/>
      <c r="G35" s="24"/>
      <c r="H35" s="33"/>
      <c r="I35" s="48"/>
      <c r="J35" s="49"/>
      <c r="K35" s="43"/>
      <c r="L35" s="2"/>
      <c r="M35" s="37"/>
      <c r="N35" s="2"/>
      <c r="O35" s="2"/>
      <c r="P35" s="2"/>
    </row>
    <row r="36" spans="4:16" ht="15.5" thickTop="1" thickBot="1" x14ac:dyDescent="0.4">
      <c r="D36" s="28"/>
      <c r="E36" s="24"/>
      <c r="F36" s="24"/>
      <c r="G36" s="24"/>
      <c r="H36" s="33"/>
      <c r="I36" s="48"/>
      <c r="J36" s="49"/>
      <c r="K36" s="43"/>
      <c r="L36" s="2"/>
      <c r="M36" s="37"/>
      <c r="N36" s="2"/>
      <c r="O36" s="2"/>
      <c r="P36" s="2"/>
    </row>
    <row r="37" spans="4:16" ht="15.5" thickTop="1" thickBot="1" x14ac:dyDescent="0.4">
      <c r="D37" s="28"/>
      <c r="E37" s="24"/>
      <c r="F37" s="24"/>
      <c r="G37" s="24"/>
      <c r="H37" s="33"/>
      <c r="I37" s="48"/>
      <c r="J37" s="49"/>
      <c r="K37" s="43"/>
      <c r="L37" s="2"/>
      <c r="M37" s="37"/>
      <c r="N37" s="2"/>
      <c r="O37" s="2"/>
      <c r="P37" s="2"/>
    </row>
    <row r="38" spans="4:16" ht="15.5" thickTop="1" thickBot="1" x14ac:dyDescent="0.4">
      <c r="D38" s="28"/>
      <c r="E38" s="24"/>
      <c r="F38" s="24"/>
      <c r="G38" s="24"/>
      <c r="H38" s="33"/>
      <c r="I38" s="48"/>
      <c r="J38" s="49"/>
      <c r="K38" s="43"/>
      <c r="L38" s="2"/>
      <c r="M38" s="37"/>
      <c r="N38" s="2"/>
      <c r="O38" s="2"/>
      <c r="P38" s="2"/>
    </row>
    <row r="39" spans="4:16" ht="15.5" thickTop="1" thickBot="1" x14ac:dyDescent="0.4">
      <c r="D39" s="28"/>
      <c r="E39" s="24"/>
      <c r="F39" s="24"/>
      <c r="G39" s="24"/>
      <c r="H39" s="33"/>
      <c r="I39" s="46"/>
      <c r="J39" s="47"/>
      <c r="K39" s="43"/>
      <c r="L39" s="2"/>
      <c r="M39" s="2"/>
      <c r="N39" s="2"/>
      <c r="O39" s="2"/>
      <c r="P39" s="2"/>
    </row>
    <row r="40" spans="4:16" ht="15" thickTop="1" x14ac:dyDescent="0.35">
      <c r="D40" s="2"/>
      <c r="E40" s="2"/>
      <c r="F40" s="2"/>
      <c r="G40" s="2"/>
      <c r="H40" s="25"/>
      <c r="I40" s="25"/>
      <c r="J40" s="25"/>
      <c r="K40" s="25"/>
      <c r="L40" s="2"/>
      <c r="M40" s="2"/>
      <c r="N40" s="2"/>
      <c r="O40" s="2"/>
      <c r="P40" s="2"/>
    </row>
    <row r="41" spans="4:16" x14ac:dyDescent="0.35"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4:16" x14ac:dyDescent="0.35"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4:16" x14ac:dyDescent="0.35"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4:16" x14ac:dyDescent="0.35"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4:16" x14ac:dyDescent="0.35"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4:16" x14ac:dyDescent="0.35"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4:16" x14ac:dyDescent="0.35"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4:16" x14ac:dyDescent="0.35"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4:16" x14ac:dyDescent="0.35"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4:16" x14ac:dyDescent="0.35"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4:16" x14ac:dyDescent="0.35"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4:16" x14ac:dyDescent="0.35"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4:16" x14ac:dyDescent="0.35"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4:16" x14ac:dyDescent="0.35"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4:16" x14ac:dyDescent="0.35"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4:16" x14ac:dyDescent="0.35"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4:16" x14ac:dyDescent="0.35"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4:16" x14ac:dyDescent="0.35"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4:16" x14ac:dyDescent="0.35"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4:16" x14ac:dyDescent="0.35"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4:16" x14ac:dyDescent="0.35"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4:16" x14ac:dyDescent="0.35"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4:16" x14ac:dyDescent="0.35"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4:16" x14ac:dyDescent="0.35"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4:16" x14ac:dyDescent="0.35"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4:16" x14ac:dyDescent="0.35"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4:16" x14ac:dyDescent="0.35"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4:16" x14ac:dyDescent="0.35"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4:16" x14ac:dyDescent="0.35"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4:16" x14ac:dyDescent="0.35"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</sheetData>
  <mergeCells count="19">
    <mergeCell ref="I32:J32"/>
    <mergeCell ref="I33:J33"/>
    <mergeCell ref="D21:J21"/>
    <mergeCell ref="I27:J27"/>
    <mergeCell ref="I28:J28"/>
    <mergeCell ref="I29:J29"/>
    <mergeCell ref="I30:J30"/>
    <mergeCell ref="I31:J31"/>
    <mergeCell ref="C1:J1"/>
    <mergeCell ref="I23:J23"/>
    <mergeCell ref="I24:J24"/>
    <mergeCell ref="I25:J25"/>
    <mergeCell ref="I26:J26"/>
    <mergeCell ref="I39:J39"/>
    <mergeCell ref="I34:J34"/>
    <mergeCell ref="I35:J35"/>
    <mergeCell ref="I36:J36"/>
    <mergeCell ref="I37:J37"/>
    <mergeCell ref="I38:J38"/>
  </mergeCells>
  <phoneticPr fontId="4" type="noConversion"/>
  <conditionalFormatting sqref="D23:H39">
    <cfRule type="expression" dxfId="0" priority="1">
      <formula>$B$9=ROW()</formula>
    </cfRule>
  </conditionalFormatting>
  <dataValidations count="3">
    <dataValidation type="list" allowBlank="1" showInputMessage="1" showErrorMessage="1" sqref="E11" xr:uid="{FC7F1B9E-D923-45BC-95E2-36CB119123FD}">
      <formula1>"2019,2020,2021"</formula1>
    </dataValidation>
    <dataValidation type="list" allowBlank="1" showInputMessage="1" showErrorMessage="1" sqref="G15" xr:uid="{052C4B88-F808-486C-B122-705D0EAD5341}">
      <formula1>TYPES</formula1>
    </dataValidation>
    <dataValidation type="list" allowBlank="1" showInputMessage="1" showErrorMessage="1" sqref="G17" xr:uid="{5910E2F2-4936-4D9B-8E7D-E20F0757A893}">
      <formula1>Categories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09C0B-B784-471A-BA78-53D85F994A42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5B1CC-28D7-43AA-8AAC-B9ABCD71CE8D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Expenses</vt:lpstr>
      <vt:lpstr>Sheet1</vt:lpstr>
      <vt:lpstr>Sheet2</vt:lpstr>
      <vt:lpstr>Categories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SWETA SUMAN</dc:creator>
  <cp:lastModifiedBy>SWETA SUMAN</cp:lastModifiedBy>
  <cp:lastPrinted>2022-08-29T09:02:46Z</cp:lastPrinted>
  <dcterms:created xsi:type="dcterms:W3CDTF">2022-08-29T08:08:40Z</dcterms:created>
  <dcterms:modified xsi:type="dcterms:W3CDTF">2022-08-30T14:01:42Z</dcterms:modified>
</cp:coreProperties>
</file>